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Sheet2" sheetId="3" r:id="rId6"/>
    <sheet state="visible" name="sunny" sheetId="4" r:id="rId7"/>
    <sheet state="visible" name="rainy" sheetId="5" r:id="rId8"/>
  </sheets>
  <definedNames>
    <definedName hidden="1" localSheetId="0" name="_xlnm._FilterDatabase">Sheet1!$A$2:$Z$15</definedName>
    <definedName hidden="1" localSheetId="3" name="_xlnm._FilterDatabase">sunny!$A$2:$E$7</definedName>
    <definedName hidden="1" localSheetId="4" name="_xlnm._FilterDatabase">rainy!$A$1:$E$6</definedName>
  </definedNames>
  <calcPr/>
</workbook>
</file>

<file path=xl/sharedStrings.xml><?xml version="1.0" encoding="utf-8"?>
<sst xmlns="http://schemas.openxmlformats.org/spreadsheetml/2006/main" count="216" uniqueCount="44">
  <si>
    <t>Outlook</t>
  </si>
  <si>
    <t>Temperature</t>
  </si>
  <si>
    <t>Humidity</t>
  </si>
  <si>
    <t>Windy</t>
  </si>
  <si>
    <t>Play Golf</t>
  </si>
  <si>
    <t>Rainy</t>
  </si>
  <si>
    <t>Hot</t>
  </si>
  <si>
    <t>High</t>
  </si>
  <si>
    <t>No</t>
  </si>
  <si>
    <t>Overcast</t>
  </si>
  <si>
    <t>Yes</t>
  </si>
  <si>
    <t>Sunny</t>
  </si>
  <si>
    <t>Mild</t>
  </si>
  <si>
    <t>Cool</t>
  </si>
  <si>
    <t>Normal</t>
  </si>
  <si>
    <t>outlook</t>
  </si>
  <si>
    <t>yes</t>
  </si>
  <si>
    <t>no</t>
  </si>
  <si>
    <t>total</t>
  </si>
  <si>
    <t xml:space="preserve">Gini </t>
  </si>
  <si>
    <t>sunny</t>
  </si>
  <si>
    <t>Gini outlook</t>
  </si>
  <si>
    <t>mild</t>
  </si>
  <si>
    <t>Gini</t>
  </si>
  <si>
    <t>weighted gini</t>
  </si>
  <si>
    <t>high</t>
  </si>
  <si>
    <t>normal</t>
  </si>
  <si>
    <t>gini</t>
  </si>
  <si>
    <t xml:space="preserve">weighted </t>
  </si>
  <si>
    <t>Lets put here the wieighted averages</t>
  </si>
  <si>
    <t xml:space="preserve">Outlook </t>
  </si>
  <si>
    <t>temp</t>
  </si>
  <si>
    <t>windy</t>
  </si>
  <si>
    <t>The smallest is  Outlook which means it takes the top of the decition tree</t>
  </si>
  <si>
    <t>sunny subset data</t>
  </si>
  <si>
    <t>cool</t>
  </si>
  <si>
    <t>weighted</t>
  </si>
  <si>
    <t xml:space="preserve">no </t>
  </si>
  <si>
    <t>Weighted gini by each of them</t>
  </si>
  <si>
    <t>Here we go with WIndy as its the smallest</t>
  </si>
  <si>
    <t>temperature</t>
  </si>
  <si>
    <t>humidity</t>
  </si>
  <si>
    <t xml:space="preserve"> no</t>
  </si>
  <si>
    <t>humidity is selected on this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</si>
</sst>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5772150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b">
        <v>0</v>
      </c>
      <c r="E2" s="2" t="s">
        <v>8</v>
      </c>
    </row>
    <row r="3">
      <c r="A3" s="2" t="s">
        <v>5</v>
      </c>
      <c r="B3" s="2" t="s">
        <v>6</v>
      </c>
      <c r="C3" s="2" t="s">
        <v>7</v>
      </c>
      <c r="D3" s="2" t="b">
        <v>1</v>
      </c>
      <c r="E3" s="2" t="s">
        <v>8</v>
      </c>
    </row>
    <row r="4">
      <c r="A4" s="2" t="s">
        <v>9</v>
      </c>
      <c r="B4" s="2" t="s">
        <v>6</v>
      </c>
      <c r="C4" s="2" t="s">
        <v>7</v>
      </c>
      <c r="D4" s="2" t="b">
        <v>0</v>
      </c>
      <c r="E4" s="2" t="s">
        <v>10</v>
      </c>
    </row>
    <row r="5">
      <c r="A5" s="2" t="s">
        <v>11</v>
      </c>
      <c r="B5" s="2" t="s">
        <v>12</v>
      </c>
      <c r="C5" s="2" t="s">
        <v>7</v>
      </c>
      <c r="D5" s="2" t="b">
        <v>0</v>
      </c>
      <c r="E5" s="2" t="s">
        <v>10</v>
      </c>
    </row>
    <row r="6">
      <c r="A6" s="2" t="s">
        <v>11</v>
      </c>
      <c r="B6" s="2" t="s">
        <v>13</v>
      </c>
      <c r="C6" s="2" t="s">
        <v>14</v>
      </c>
      <c r="D6" s="2" t="b">
        <v>0</v>
      </c>
      <c r="E6" s="2" t="s">
        <v>10</v>
      </c>
    </row>
    <row r="7">
      <c r="A7" s="2" t="s">
        <v>11</v>
      </c>
      <c r="B7" s="2" t="s">
        <v>13</v>
      </c>
      <c r="C7" s="2" t="s">
        <v>14</v>
      </c>
      <c r="D7" s="2" t="b">
        <v>1</v>
      </c>
      <c r="E7" s="2" t="s">
        <v>8</v>
      </c>
    </row>
    <row r="8">
      <c r="A8" s="2" t="s">
        <v>9</v>
      </c>
      <c r="B8" s="2" t="s">
        <v>13</v>
      </c>
      <c r="C8" s="2" t="s">
        <v>14</v>
      </c>
      <c r="D8" s="2" t="b">
        <v>1</v>
      </c>
      <c r="E8" s="2" t="s">
        <v>10</v>
      </c>
    </row>
    <row r="9">
      <c r="A9" s="2" t="s">
        <v>5</v>
      </c>
      <c r="B9" s="2" t="s">
        <v>12</v>
      </c>
      <c r="C9" s="2" t="s">
        <v>7</v>
      </c>
      <c r="D9" s="2" t="b">
        <v>0</v>
      </c>
      <c r="E9" s="2" t="s">
        <v>8</v>
      </c>
    </row>
    <row r="10">
      <c r="A10" s="2" t="s">
        <v>5</v>
      </c>
      <c r="B10" s="2" t="s">
        <v>13</v>
      </c>
      <c r="C10" s="2" t="s">
        <v>14</v>
      </c>
      <c r="D10" s="2" t="b">
        <v>0</v>
      </c>
      <c r="E10" s="2" t="s">
        <v>10</v>
      </c>
    </row>
    <row r="11">
      <c r="A11" s="2" t="s">
        <v>11</v>
      </c>
      <c r="B11" s="2" t="s">
        <v>12</v>
      </c>
      <c r="C11" s="2" t="s">
        <v>14</v>
      </c>
      <c r="D11" s="2" t="b">
        <v>0</v>
      </c>
      <c r="E11" s="2" t="s">
        <v>10</v>
      </c>
    </row>
    <row r="12">
      <c r="A12" s="2" t="s">
        <v>5</v>
      </c>
      <c r="B12" s="2" t="s">
        <v>12</v>
      </c>
      <c r="C12" s="2" t="s">
        <v>14</v>
      </c>
      <c r="D12" s="2" t="b">
        <v>1</v>
      </c>
      <c r="E12" s="2" t="s">
        <v>10</v>
      </c>
    </row>
    <row r="13">
      <c r="A13" s="2" t="s">
        <v>9</v>
      </c>
      <c r="B13" s="2" t="s">
        <v>12</v>
      </c>
      <c r="C13" s="2" t="s">
        <v>7</v>
      </c>
      <c r="D13" s="2" t="b">
        <v>1</v>
      </c>
      <c r="E13" s="2" t="s">
        <v>10</v>
      </c>
    </row>
    <row r="14">
      <c r="A14" s="2" t="s">
        <v>9</v>
      </c>
      <c r="B14" s="2" t="s">
        <v>6</v>
      </c>
      <c r="C14" s="2" t="s">
        <v>14</v>
      </c>
      <c r="D14" s="2" t="b">
        <v>0</v>
      </c>
      <c r="E14" s="2" t="s">
        <v>10</v>
      </c>
    </row>
    <row r="15">
      <c r="A15" s="2" t="s">
        <v>11</v>
      </c>
      <c r="B15" s="2" t="s">
        <v>12</v>
      </c>
      <c r="C15" s="2" t="s">
        <v>7</v>
      </c>
      <c r="D15" s="2" t="b">
        <v>1</v>
      </c>
      <c r="E15" s="2" t="s">
        <v>8</v>
      </c>
    </row>
  </sheetData>
  <autoFilter ref="$A$2:$Z$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B1" s="2" t="s">
        <v>16</v>
      </c>
      <c r="C1" s="2" t="s">
        <v>17</v>
      </c>
      <c r="D1" s="2" t="s">
        <v>18</v>
      </c>
    </row>
    <row r="2">
      <c r="A2" s="2" t="s">
        <v>5</v>
      </c>
      <c r="B2" s="2">
        <v>2.0</v>
      </c>
      <c r="C2" s="2">
        <v>3.0</v>
      </c>
      <c r="D2" s="2">
        <v>5.0</v>
      </c>
    </row>
    <row r="3">
      <c r="A3" s="2" t="s">
        <v>9</v>
      </c>
      <c r="B3" s="2">
        <v>4.0</v>
      </c>
      <c r="C3" s="2">
        <v>0.0</v>
      </c>
      <c r="D3" s="2">
        <v>4.0</v>
      </c>
    </row>
    <row r="4">
      <c r="A4" s="2" t="s">
        <v>11</v>
      </c>
      <c r="B4" s="2">
        <v>3.0</v>
      </c>
      <c r="C4" s="2">
        <v>2.0</v>
      </c>
      <c r="D4" s="2">
        <v>5.0</v>
      </c>
    </row>
    <row r="5">
      <c r="A5" s="2" t="s">
        <v>18</v>
      </c>
      <c r="D5" s="4">
        <f>SUM(D2:D4)</f>
        <v>14</v>
      </c>
    </row>
    <row r="7">
      <c r="A7" s="2" t="s">
        <v>19</v>
      </c>
    </row>
    <row r="8">
      <c r="A8" s="2" t="s">
        <v>5</v>
      </c>
      <c r="B8" s="4">
        <f t="shared" ref="B8:B10" si="1">1-(B2/D2)^2 -(C2/D2)^2</f>
        <v>0.48</v>
      </c>
    </row>
    <row r="9">
      <c r="A9" s="2" t="s">
        <v>9</v>
      </c>
      <c r="B9" s="4">
        <f t="shared" si="1"/>
        <v>0</v>
      </c>
    </row>
    <row r="10">
      <c r="A10" s="2" t="s">
        <v>20</v>
      </c>
      <c r="B10" s="4">
        <f t="shared" si="1"/>
        <v>0.48</v>
      </c>
    </row>
    <row r="12">
      <c r="A12" s="2" t="s">
        <v>21</v>
      </c>
      <c r="B12" s="4">
        <f>B8*(D2/D5) + B9*(D3/D5) + B10*(D4/D5)</f>
        <v>0.3428571429</v>
      </c>
    </row>
    <row r="15">
      <c r="A15" s="3" t="s">
        <v>1</v>
      </c>
      <c r="B15" s="2" t="s">
        <v>10</v>
      </c>
      <c r="C15" s="2" t="s">
        <v>17</v>
      </c>
      <c r="D15" s="2" t="s">
        <v>18</v>
      </c>
    </row>
    <row r="16">
      <c r="A16" s="2" t="s">
        <v>13</v>
      </c>
      <c r="B16" s="2">
        <v>3.0</v>
      </c>
      <c r="C16" s="2">
        <v>1.0</v>
      </c>
      <c r="D16" s="2">
        <v>4.0</v>
      </c>
    </row>
    <row r="17">
      <c r="A17" s="2" t="s">
        <v>6</v>
      </c>
      <c r="B17" s="2">
        <v>2.0</v>
      </c>
      <c r="C17" s="2">
        <v>2.0</v>
      </c>
      <c r="D17" s="2">
        <v>4.0</v>
      </c>
    </row>
    <row r="18">
      <c r="A18" s="2" t="s">
        <v>22</v>
      </c>
      <c r="B18" s="2">
        <v>4.0</v>
      </c>
      <c r="C18" s="2">
        <v>2.0</v>
      </c>
      <c r="D18" s="2">
        <v>6.0</v>
      </c>
    </row>
    <row r="19">
      <c r="D19" s="2">
        <v>14.0</v>
      </c>
    </row>
    <row r="20">
      <c r="A20" s="2" t="s">
        <v>23</v>
      </c>
    </row>
    <row r="21">
      <c r="A21" s="2" t="s">
        <v>13</v>
      </c>
      <c r="B21" s="4">
        <f t="shared" ref="B21:B23" si="2">1-(B16/D16)^2 - (C16/D16)^2</f>
        <v>0.375</v>
      </c>
    </row>
    <row r="22">
      <c r="A22" s="2" t="s">
        <v>6</v>
      </c>
      <c r="B22" s="4">
        <f t="shared" si="2"/>
        <v>0.5</v>
      </c>
    </row>
    <row r="23">
      <c r="A23" s="2" t="s">
        <v>22</v>
      </c>
      <c r="B23" s="4">
        <f t="shared" si="2"/>
        <v>0.4444444444</v>
      </c>
    </row>
    <row r="25">
      <c r="A25" s="2" t="s">
        <v>24</v>
      </c>
      <c r="B25" s="4">
        <f>B21*(D16/D19) + B22*(D17/D19) + B23*(D18/D19)</f>
        <v>0.4404761905</v>
      </c>
    </row>
    <row r="28">
      <c r="A28" s="3" t="s">
        <v>2</v>
      </c>
      <c r="B28" s="2" t="s">
        <v>16</v>
      </c>
      <c r="C28" s="2" t="s">
        <v>17</v>
      </c>
      <c r="D28" s="2" t="s">
        <v>18</v>
      </c>
    </row>
    <row r="29">
      <c r="A29" s="2" t="s">
        <v>25</v>
      </c>
      <c r="B29" s="2">
        <v>3.0</v>
      </c>
      <c r="C29" s="2">
        <v>4.0</v>
      </c>
      <c r="D29" s="2">
        <v>7.0</v>
      </c>
    </row>
    <row r="30">
      <c r="A30" s="2" t="s">
        <v>26</v>
      </c>
      <c r="B30" s="2">
        <v>6.0</v>
      </c>
      <c r="C30" s="2">
        <v>1.0</v>
      </c>
      <c r="D30" s="2">
        <v>7.0</v>
      </c>
    </row>
    <row r="32">
      <c r="A32" s="3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25</v>
      </c>
      <c r="B33" s="4">
        <f t="shared" ref="B33:B34" si="3">1- (B29/D29)^2 - (C29/D29)^2</f>
        <v>0.4897959184</v>
      </c>
    </row>
    <row r="34">
      <c r="A34" s="2" t="s">
        <v>26</v>
      </c>
      <c r="B34" s="4">
        <f t="shared" si="3"/>
        <v>0.2448979592</v>
      </c>
    </row>
    <row r="35">
      <c r="A35" s="2" t="s">
        <v>24</v>
      </c>
      <c r="B35" s="4">
        <f>B33*(D29/14) +B34*(7/14)</f>
        <v>0.3673469388</v>
      </c>
    </row>
    <row r="37">
      <c r="A37" s="2" t="s">
        <v>3</v>
      </c>
      <c r="B37" s="2" t="s">
        <v>16</v>
      </c>
      <c r="C37" s="2" t="s">
        <v>17</v>
      </c>
      <c r="D37" s="2" t="s">
        <v>18</v>
      </c>
    </row>
    <row r="38">
      <c r="A38" s="2" t="b">
        <v>0</v>
      </c>
      <c r="B38" s="2">
        <v>6.0</v>
      </c>
      <c r="C38" s="2">
        <v>2.0</v>
      </c>
      <c r="D38" s="2">
        <v>8.0</v>
      </c>
    </row>
    <row r="39">
      <c r="A39" s="2" t="b">
        <v>1</v>
      </c>
      <c r="B39" s="2">
        <v>3.0</v>
      </c>
      <c r="C39" s="2">
        <v>3.0</v>
      </c>
      <c r="D39" s="2">
        <v>6.0</v>
      </c>
    </row>
    <row r="41">
      <c r="A41" s="2" t="s">
        <v>27</v>
      </c>
    </row>
    <row r="42">
      <c r="A42" s="2" t="b">
        <v>0</v>
      </c>
      <c r="B42" s="4">
        <f t="shared" ref="B42:B43" si="4">1-(B38/D38)^2 -(C38/D38)^2</f>
        <v>0.375</v>
      </c>
    </row>
    <row r="43">
      <c r="A43" s="2" t="b">
        <v>1</v>
      </c>
      <c r="B43" s="4">
        <f t="shared" si="4"/>
        <v>0.5</v>
      </c>
    </row>
    <row r="45">
      <c r="A45" s="2" t="s">
        <v>28</v>
      </c>
      <c r="B45" s="4">
        <f> B42*(D38/14) + B43*(D39/14)</f>
        <v>0.4285714286</v>
      </c>
    </row>
    <row r="49">
      <c r="B49" s="3" t="s">
        <v>29</v>
      </c>
    </row>
    <row r="50">
      <c r="B50" s="2" t="s">
        <v>30</v>
      </c>
      <c r="C50" s="4">
        <f>B12</f>
        <v>0.3428571429</v>
      </c>
    </row>
    <row r="51">
      <c r="B51" s="2" t="s">
        <v>2</v>
      </c>
      <c r="C51" s="4">
        <f>B35</f>
        <v>0.3673469388</v>
      </c>
    </row>
    <row r="52">
      <c r="B52" s="2" t="s">
        <v>31</v>
      </c>
      <c r="C52" s="4">
        <f>B25</f>
        <v>0.4404761905</v>
      </c>
    </row>
    <row r="53">
      <c r="B53" s="2" t="s">
        <v>32</v>
      </c>
      <c r="C53" s="4">
        <f>B45</f>
        <v>0.4285714286</v>
      </c>
    </row>
    <row r="56">
      <c r="B56" s="2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34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11</v>
      </c>
      <c r="B3" s="2" t="s">
        <v>12</v>
      </c>
      <c r="C3" s="2" t="s">
        <v>7</v>
      </c>
      <c r="D3" s="2" t="b">
        <v>0</v>
      </c>
      <c r="E3" s="2" t="s">
        <v>10</v>
      </c>
    </row>
    <row r="4">
      <c r="A4" s="2" t="s">
        <v>11</v>
      </c>
      <c r="B4" s="2" t="s">
        <v>13</v>
      </c>
      <c r="C4" s="2" t="s">
        <v>14</v>
      </c>
      <c r="D4" s="2" t="b">
        <v>0</v>
      </c>
      <c r="E4" s="2" t="s">
        <v>10</v>
      </c>
    </row>
    <row r="5">
      <c r="A5" s="2" t="s">
        <v>11</v>
      </c>
      <c r="B5" s="2" t="s">
        <v>13</v>
      </c>
      <c r="C5" s="2" t="s">
        <v>14</v>
      </c>
      <c r="D5" s="2" t="b">
        <v>1</v>
      </c>
      <c r="E5" s="2" t="s">
        <v>8</v>
      </c>
    </row>
    <row r="6">
      <c r="A6" s="2" t="s">
        <v>11</v>
      </c>
      <c r="B6" s="2" t="s">
        <v>12</v>
      </c>
      <c r="C6" s="2" t="s">
        <v>14</v>
      </c>
      <c r="D6" s="2" t="b">
        <v>0</v>
      </c>
      <c r="E6" s="2" t="s">
        <v>10</v>
      </c>
    </row>
    <row r="7">
      <c r="A7" s="2" t="s">
        <v>11</v>
      </c>
      <c r="B7" s="2" t="s">
        <v>12</v>
      </c>
      <c r="C7" s="2" t="s">
        <v>7</v>
      </c>
      <c r="D7" s="2" t="b">
        <v>1</v>
      </c>
      <c r="E7" s="2" t="s">
        <v>8</v>
      </c>
    </row>
    <row r="10">
      <c r="A10" s="2" t="s">
        <v>1</v>
      </c>
      <c r="B10" s="2" t="s">
        <v>16</v>
      </c>
      <c r="C10" s="2" t="s">
        <v>17</v>
      </c>
      <c r="D10" s="2" t="s">
        <v>18</v>
      </c>
    </row>
    <row r="11">
      <c r="A11" s="2" t="s">
        <v>12</v>
      </c>
      <c r="B11" s="2">
        <v>2.0</v>
      </c>
      <c r="C11" s="2">
        <v>1.0</v>
      </c>
      <c r="D11" s="2">
        <v>3.0</v>
      </c>
    </row>
    <row r="12">
      <c r="A12" s="2" t="s">
        <v>35</v>
      </c>
      <c r="B12" s="2">
        <v>1.0</v>
      </c>
      <c r="C12" s="2">
        <v>1.0</v>
      </c>
      <c r="D12" s="2">
        <v>2.0</v>
      </c>
    </row>
    <row r="14">
      <c r="A14" s="2" t="s">
        <v>27</v>
      </c>
    </row>
    <row r="15">
      <c r="A15" s="2" t="s">
        <v>12</v>
      </c>
      <c r="B15" s="4">
        <f t="shared" ref="B15:B16" si="1">1-(B11/D11)^2 - (C11/D11)</f>
        <v>0.2222222222</v>
      </c>
    </row>
    <row r="16">
      <c r="A16" s="2" t="s">
        <v>35</v>
      </c>
      <c r="B16" s="4">
        <f t="shared" si="1"/>
        <v>0.25</v>
      </c>
    </row>
    <row r="18">
      <c r="A18" s="2" t="s">
        <v>28</v>
      </c>
      <c r="B18" s="4">
        <f>B15*(D11/5) + B16*(D12/5)</f>
        <v>0.2333333333</v>
      </c>
    </row>
    <row r="21">
      <c r="A21" s="2" t="s">
        <v>2</v>
      </c>
      <c r="B21" s="2" t="s">
        <v>16</v>
      </c>
      <c r="C21" s="2" t="s">
        <v>17</v>
      </c>
      <c r="D21" s="2" t="s">
        <v>18</v>
      </c>
    </row>
    <row r="22">
      <c r="A22" s="2" t="s">
        <v>7</v>
      </c>
      <c r="B22" s="2">
        <v>1.0</v>
      </c>
      <c r="C22" s="2">
        <v>1.0</v>
      </c>
      <c r="D22" s="2">
        <v>2.0</v>
      </c>
    </row>
    <row r="23">
      <c r="A23" s="2" t="s">
        <v>14</v>
      </c>
      <c r="B23" s="2">
        <v>2.0</v>
      </c>
      <c r="C23" s="2">
        <v>1.0</v>
      </c>
      <c r="D23" s="2">
        <v>3.0</v>
      </c>
    </row>
    <row r="25">
      <c r="A25" s="2" t="s">
        <v>27</v>
      </c>
    </row>
    <row r="26">
      <c r="A26" s="2" t="s">
        <v>7</v>
      </c>
      <c r="B26" s="4">
        <f t="shared" ref="B26:B27" si="2">1- (B22/D22)^2 - (C22/D22)^2</f>
        <v>0.5</v>
      </c>
    </row>
    <row r="27">
      <c r="A27" s="2" t="s">
        <v>14</v>
      </c>
      <c r="B27" s="4">
        <f t="shared" si="2"/>
        <v>0.4444444444</v>
      </c>
    </row>
    <row r="29">
      <c r="A29" s="2" t="s">
        <v>36</v>
      </c>
      <c r="B29" s="4">
        <f>B26*(D22/5) + B27*(D23/5)</f>
        <v>0.4666666667</v>
      </c>
    </row>
    <row r="31">
      <c r="A31" s="2" t="s">
        <v>32</v>
      </c>
      <c r="B31" s="2" t="s">
        <v>16</v>
      </c>
      <c r="C31" s="2" t="s">
        <v>37</v>
      </c>
      <c r="D31" s="2" t="s">
        <v>18</v>
      </c>
    </row>
    <row r="32">
      <c r="A32" s="2" t="b">
        <v>0</v>
      </c>
      <c r="B32" s="2">
        <v>3.0</v>
      </c>
      <c r="C32" s="2">
        <v>0.0</v>
      </c>
      <c r="D32" s="2">
        <v>3.0</v>
      </c>
    </row>
    <row r="33">
      <c r="A33" s="2" t="b">
        <v>1</v>
      </c>
      <c r="B33" s="2">
        <v>2.0</v>
      </c>
      <c r="C33" s="2">
        <v>0.0</v>
      </c>
      <c r="D33" s="2">
        <v>2.0</v>
      </c>
    </row>
    <row r="35">
      <c r="A35" s="2" t="b">
        <v>0</v>
      </c>
      <c r="B35" s="4">
        <f t="shared" ref="B35:B36" si="3">1-(B32/D32)^2 - (C32/D32)^2</f>
        <v>0</v>
      </c>
    </row>
    <row r="36">
      <c r="A36" s="2" t="b">
        <v>1</v>
      </c>
      <c r="B36" s="4">
        <f t="shared" si="3"/>
        <v>0</v>
      </c>
    </row>
    <row r="38">
      <c r="A38" s="2" t="s">
        <v>28</v>
      </c>
      <c r="B38" s="4">
        <f>B35*(D32/5) + B36*(D33/5)</f>
        <v>0</v>
      </c>
    </row>
    <row r="42">
      <c r="B42" s="2" t="s">
        <v>38</v>
      </c>
    </row>
    <row r="43">
      <c r="B43" s="2" t="s">
        <v>3</v>
      </c>
      <c r="C43" s="4">
        <f>B38</f>
        <v>0</v>
      </c>
    </row>
    <row r="44">
      <c r="B44" s="2" t="s">
        <v>1</v>
      </c>
      <c r="C44" s="4">
        <f>B29</f>
        <v>0.4666666667</v>
      </c>
    </row>
    <row r="45">
      <c r="B45" s="2" t="s">
        <v>2</v>
      </c>
      <c r="C45" s="4">
        <f>B18</f>
        <v>0.2333333333</v>
      </c>
    </row>
    <row r="48">
      <c r="B48" s="2" t="s">
        <v>39</v>
      </c>
    </row>
  </sheetData>
  <autoFilter ref="$A$2:$E$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 t="s">
        <v>5</v>
      </c>
      <c r="B2" s="2" t="s">
        <v>6</v>
      </c>
      <c r="C2" s="2" t="s">
        <v>7</v>
      </c>
      <c r="D2" s="2" t="b">
        <v>0</v>
      </c>
      <c r="E2" s="2" t="s">
        <v>8</v>
      </c>
    </row>
    <row r="3">
      <c r="A3" s="2" t="s">
        <v>5</v>
      </c>
      <c r="B3" s="2" t="s">
        <v>6</v>
      </c>
      <c r="C3" s="2" t="s">
        <v>7</v>
      </c>
      <c r="D3" s="2" t="b">
        <v>1</v>
      </c>
      <c r="E3" s="2" t="s">
        <v>8</v>
      </c>
    </row>
    <row r="4" hidden="1">
      <c r="A4" s="2" t="s">
        <v>5</v>
      </c>
      <c r="B4" s="2" t="s">
        <v>12</v>
      </c>
      <c r="C4" s="2" t="s">
        <v>7</v>
      </c>
      <c r="D4" s="2" t="b">
        <v>0</v>
      </c>
      <c r="E4" s="2" t="s">
        <v>8</v>
      </c>
    </row>
    <row r="5" hidden="1">
      <c r="A5" s="2" t="s">
        <v>5</v>
      </c>
      <c r="B5" s="2" t="s">
        <v>13</v>
      </c>
      <c r="C5" s="2" t="s">
        <v>14</v>
      </c>
      <c r="D5" s="2" t="b">
        <v>0</v>
      </c>
      <c r="E5" s="2" t="s">
        <v>10</v>
      </c>
    </row>
    <row r="6">
      <c r="A6" s="2" t="s">
        <v>5</v>
      </c>
      <c r="B6" s="2" t="s">
        <v>12</v>
      </c>
      <c r="C6" s="2" t="s">
        <v>14</v>
      </c>
      <c r="D6" s="2" t="b">
        <v>1</v>
      </c>
      <c r="E6" s="2" t="s">
        <v>10</v>
      </c>
    </row>
    <row r="8">
      <c r="A8" s="2" t="s">
        <v>40</v>
      </c>
      <c r="B8" s="2" t="s">
        <v>16</v>
      </c>
      <c r="C8" s="2" t="s">
        <v>37</v>
      </c>
      <c r="D8" s="2" t="s">
        <v>18</v>
      </c>
    </row>
    <row r="9">
      <c r="A9" s="2" t="s">
        <v>6</v>
      </c>
      <c r="B9" s="2">
        <v>0.0</v>
      </c>
      <c r="C9" s="2">
        <v>2.0</v>
      </c>
      <c r="D9" s="2">
        <v>2.0</v>
      </c>
    </row>
    <row r="10">
      <c r="A10" s="2" t="s">
        <v>12</v>
      </c>
      <c r="B10" s="2">
        <v>1.0</v>
      </c>
      <c r="C10" s="2">
        <v>1.0</v>
      </c>
      <c r="D10" s="2">
        <v>2.0</v>
      </c>
    </row>
    <row r="11">
      <c r="A11" s="2" t="s">
        <v>35</v>
      </c>
      <c r="B11" s="2">
        <v>1.0</v>
      </c>
      <c r="C11" s="2">
        <v>0.0</v>
      </c>
      <c r="D11" s="2">
        <v>1.0</v>
      </c>
    </row>
    <row r="13">
      <c r="A13" s="2" t="s">
        <v>27</v>
      </c>
    </row>
    <row r="14">
      <c r="A14" s="2" t="s">
        <v>6</v>
      </c>
      <c r="B14" s="4">
        <f t="shared" ref="B14:B16" si="1">1-(B9/D9)^2 - (C9/D9)^2</f>
        <v>0</v>
      </c>
    </row>
    <row r="15">
      <c r="A15" s="2" t="s">
        <v>12</v>
      </c>
      <c r="B15" s="4">
        <f t="shared" si="1"/>
        <v>0.5</v>
      </c>
    </row>
    <row r="16">
      <c r="A16" s="2" t="s">
        <v>35</v>
      </c>
      <c r="B16" s="4">
        <f t="shared" si="1"/>
        <v>0</v>
      </c>
    </row>
    <row r="17">
      <c r="A17" s="2" t="s">
        <v>36</v>
      </c>
      <c r="B17" s="2">
        <f>B14*(D9/6) + B15*(D10/6)+ B16*(D11/6)</f>
        <v>0.1666666667</v>
      </c>
    </row>
    <row r="20">
      <c r="A20" s="2" t="s">
        <v>41</v>
      </c>
      <c r="B20" s="2" t="s">
        <v>16</v>
      </c>
      <c r="C20" s="2" t="s">
        <v>42</v>
      </c>
      <c r="D20" s="2" t="s">
        <v>18</v>
      </c>
    </row>
    <row r="21">
      <c r="A21" s="2" t="s">
        <v>7</v>
      </c>
      <c r="B21" s="2">
        <v>0.0</v>
      </c>
      <c r="C21" s="2">
        <v>3.0</v>
      </c>
      <c r="D21" s="2">
        <v>3.0</v>
      </c>
    </row>
    <row r="22">
      <c r="A22" s="2" t="s">
        <v>14</v>
      </c>
      <c r="B22" s="2">
        <v>2.0</v>
      </c>
      <c r="C22" s="2">
        <v>0.0</v>
      </c>
      <c r="D22" s="2">
        <v>2.0</v>
      </c>
    </row>
    <row r="24">
      <c r="A24" s="2" t="s">
        <v>27</v>
      </c>
    </row>
    <row r="25">
      <c r="A25" s="2" t="s">
        <v>7</v>
      </c>
      <c r="B25" s="4">
        <f t="shared" ref="B25:B26" si="2">1-(B21/D21)^2 - (C21/D21)^2</f>
        <v>0</v>
      </c>
    </row>
    <row r="26">
      <c r="A26" s="2" t="s">
        <v>14</v>
      </c>
      <c r="B26" s="4">
        <f t="shared" si="2"/>
        <v>0</v>
      </c>
    </row>
    <row r="28">
      <c r="A28" s="2" t="s">
        <v>36</v>
      </c>
      <c r="B28" s="4">
        <f>0</f>
        <v>0</v>
      </c>
    </row>
    <row r="30">
      <c r="A30" s="2" t="s">
        <v>32</v>
      </c>
      <c r="B30" s="2" t="s">
        <v>16</v>
      </c>
      <c r="C30" s="2" t="s">
        <v>37</v>
      </c>
      <c r="D30" s="2" t="s">
        <v>18</v>
      </c>
    </row>
    <row r="33">
      <c r="A33" s="2" t="s">
        <v>43</v>
      </c>
    </row>
  </sheetData>
  <autoFilter ref="$A$1:$E$6">
    <filterColumn colId="3">
      <filters>
        <filter val="TRUE"/>
      </filters>
    </filterColumn>
  </autoFilter>
  <drawing r:id="rId1"/>
</worksheet>
</file>