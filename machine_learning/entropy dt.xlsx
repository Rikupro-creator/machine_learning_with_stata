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nny" sheetId="2" r:id="rId5"/>
    <sheet state="visible" name="rainy" sheetId="3" r:id="rId6"/>
  </sheets>
  <definedNames>
    <definedName hidden="1" localSheetId="0" name="_xlnm._FilterDatabase">Sheet1!$A$1:$E$15</definedName>
    <definedName hidden="1" localSheetId="1" name="_xlnm._FilterDatabase">sunny!$A$1:$E$6</definedName>
    <definedName hidden="1" localSheetId="2" name="_xlnm._FilterDatabase">rainy!$A$1:$E$6</definedName>
  </definedNames>
  <calcPr/>
</workbook>
</file>

<file path=xl/sharedStrings.xml><?xml version="1.0" encoding="utf-8"?>
<sst xmlns="http://schemas.openxmlformats.org/spreadsheetml/2006/main" count="234" uniqueCount="40">
  <si>
    <t>Outlook</t>
  </si>
  <si>
    <t>Temperature</t>
  </si>
  <si>
    <t>Humidity</t>
  </si>
  <si>
    <t>Windy</t>
  </si>
  <si>
    <t>Play Golf</t>
  </si>
  <si>
    <t>Rainy</t>
  </si>
  <si>
    <t>Hot</t>
  </si>
  <si>
    <t>High</t>
  </si>
  <si>
    <t>No</t>
  </si>
  <si>
    <t>Overcast</t>
  </si>
  <si>
    <t>Yes</t>
  </si>
  <si>
    <t>Sunny</t>
  </si>
  <si>
    <t>Mild</t>
  </si>
  <si>
    <t>Cool</t>
  </si>
  <si>
    <t>Normal</t>
  </si>
  <si>
    <t xml:space="preserve">Play golf </t>
  </si>
  <si>
    <t xml:space="preserve">yes </t>
  </si>
  <si>
    <t>no</t>
  </si>
  <si>
    <t>entropy</t>
  </si>
  <si>
    <t>Lets proceed to calculate the entropy of the other variables</t>
  </si>
  <si>
    <t>yes</t>
  </si>
  <si>
    <t>total</t>
  </si>
  <si>
    <t>sunny</t>
  </si>
  <si>
    <t>Entrropy</t>
  </si>
  <si>
    <t>Entropy(playgolf/outlook)</t>
  </si>
  <si>
    <t>cool</t>
  </si>
  <si>
    <t>hot</t>
  </si>
  <si>
    <t>mild</t>
  </si>
  <si>
    <t>average</t>
  </si>
  <si>
    <t>windy</t>
  </si>
  <si>
    <t>Average entropies</t>
  </si>
  <si>
    <t>Gain</t>
  </si>
  <si>
    <t>Entropy S</t>
  </si>
  <si>
    <t>Playgolf</t>
  </si>
  <si>
    <t>weighted</t>
  </si>
  <si>
    <t>Wind</t>
  </si>
  <si>
    <t>Weighted</t>
  </si>
  <si>
    <t>humidity</t>
  </si>
  <si>
    <t>Hig</t>
  </si>
  <si>
    <t># we go with windy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</si>
</sst>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78</xdr:row>
      <xdr:rowOff>0</xdr:rowOff>
    </xdr:from>
    <xdr:ext cx="3181350" cy="60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b">
        <v>0</v>
      </c>
      <c r="E2" s="2" t="s">
        <v>8</v>
      </c>
    </row>
    <row r="3">
      <c r="A3" s="2" t="s">
        <v>5</v>
      </c>
      <c r="B3" s="2" t="s">
        <v>6</v>
      </c>
      <c r="C3" s="2" t="s">
        <v>7</v>
      </c>
      <c r="D3" s="3" t="b">
        <v>1</v>
      </c>
      <c r="E3" s="2" t="s">
        <v>8</v>
      </c>
    </row>
    <row r="4" hidden="1">
      <c r="A4" s="2" t="s">
        <v>9</v>
      </c>
      <c r="B4" s="2" t="s">
        <v>6</v>
      </c>
      <c r="C4" s="2" t="s">
        <v>7</v>
      </c>
      <c r="D4" s="3" t="b">
        <v>0</v>
      </c>
      <c r="E4" s="2" t="s">
        <v>10</v>
      </c>
    </row>
    <row r="5" hidden="1">
      <c r="A5" s="2" t="s">
        <v>11</v>
      </c>
      <c r="B5" s="2" t="s">
        <v>12</v>
      </c>
      <c r="C5" s="2" t="s">
        <v>7</v>
      </c>
      <c r="D5" s="3" t="b">
        <v>0</v>
      </c>
      <c r="E5" s="2" t="s">
        <v>10</v>
      </c>
    </row>
    <row r="6" hidden="1">
      <c r="A6" s="2" t="s">
        <v>11</v>
      </c>
      <c r="B6" s="2" t="s">
        <v>13</v>
      </c>
      <c r="C6" s="2" t="s">
        <v>14</v>
      </c>
      <c r="D6" s="3" t="b">
        <v>0</v>
      </c>
      <c r="E6" s="2" t="s">
        <v>10</v>
      </c>
    </row>
    <row r="7" hidden="1">
      <c r="A7" s="2" t="s">
        <v>11</v>
      </c>
      <c r="B7" s="2" t="s">
        <v>13</v>
      </c>
      <c r="C7" s="2" t="s">
        <v>14</v>
      </c>
      <c r="D7" s="3" t="b">
        <v>1</v>
      </c>
      <c r="E7" s="2" t="s">
        <v>8</v>
      </c>
    </row>
    <row r="8" hidden="1">
      <c r="A8" s="2" t="s">
        <v>9</v>
      </c>
      <c r="B8" s="2" t="s">
        <v>13</v>
      </c>
      <c r="C8" s="2" t="s">
        <v>14</v>
      </c>
      <c r="D8" s="3" t="b">
        <v>1</v>
      </c>
      <c r="E8" s="2" t="s">
        <v>10</v>
      </c>
    </row>
    <row r="9">
      <c r="A9" s="2" t="s">
        <v>5</v>
      </c>
      <c r="B9" s="2" t="s">
        <v>12</v>
      </c>
      <c r="C9" s="2" t="s">
        <v>7</v>
      </c>
      <c r="D9" s="3" t="b">
        <v>0</v>
      </c>
      <c r="E9" s="2" t="s">
        <v>8</v>
      </c>
    </row>
    <row r="10">
      <c r="A10" s="2" t="s">
        <v>5</v>
      </c>
      <c r="B10" s="2" t="s">
        <v>13</v>
      </c>
      <c r="C10" s="2" t="s">
        <v>14</v>
      </c>
      <c r="D10" s="3" t="b">
        <v>0</v>
      </c>
      <c r="E10" s="2" t="s">
        <v>10</v>
      </c>
    </row>
    <row r="11" hidden="1">
      <c r="A11" s="2" t="s">
        <v>11</v>
      </c>
      <c r="B11" s="2" t="s">
        <v>12</v>
      </c>
      <c r="C11" s="2" t="s">
        <v>14</v>
      </c>
      <c r="D11" s="3" t="b">
        <v>0</v>
      </c>
      <c r="E11" s="2" t="s">
        <v>10</v>
      </c>
    </row>
    <row r="12">
      <c r="A12" s="2" t="s">
        <v>5</v>
      </c>
      <c r="B12" s="2" t="s">
        <v>12</v>
      </c>
      <c r="C12" s="2" t="s">
        <v>14</v>
      </c>
      <c r="D12" s="3" t="b">
        <v>1</v>
      </c>
      <c r="E12" s="2" t="s">
        <v>10</v>
      </c>
    </row>
    <row r="13" hidden="1">
      <c r="A13" s="2" t="s">
        <v>9</v>
      </c>
      <c r="B13" s="2" t="s">
        <v>12</v>
      </c>
      <c r="C13" s="2" t="s">
        <v>7</v>
      </c>
      <c r="D13" s="3" t="b">
        <v>1</v>
      </c>
      <c r="E13" s="2" t="s">
        <v>10</v>
      </c>
    </row>
    <row r="14" hidden="1">
      <c r="A14" s="2" t="s">
        <v>9</v>
      </c>
      <c r="B14" s="2" t="s">
        <v>6</v>
      </c>
      <c r="C14" s="2" t="s">
        <v>14</v>
      </c>
      <c r="D14" s="3" t="b">
        <v>0</v>
      </c>
      <c r="E14" s="2" t="s">
        <v>10</v>
      </c>
    </row>
    <row r="15" hidden="1">
      <c r="A15" s="2" t="s">
        <v>11</v>
      </c>
      <c r="B15" s="2" t="s">
        <v>12</v>
      </c>
      <c r="C15" s="2" t="s">
        <v>7</v>
      </c>
      <c r="D15" s="3" t="b">
        <v>1</v>
      </c>
      <c r="E15" s="2" t="s">
        <v>8</v>
      </c>
    </row>
    <row r="17">
      <c r="A17" s="4" t="s">
        <v>15</v>
      </c>
      <c r="B17" s="4" t="s">
        <v>16</v>
      </c>
      <c r="C17" s="4" t="s">
        <v>17</v>
      </c>
    </row>
    <row r="18">
      <c r="B18" s="4">
        <v>9.0</v>
      </c>
      <c r="C18" s="4">
        <v>5.0</v>
      </c>
    </row>
    <row r="19">
      <c r="A19" s="4" t="s">
        <v>18</v>
      </c>
      <c r="B19" s="5">
        <f>-((9/14)*log(9/14,2)) - ((5/14)*log(5/14,2))</f>
        <v>0.9402859587</v>
      </c>
    </row>
    <row r="22">
      <c r="A22" s="4" t="s">
        <v>19</v>
      </c>
    </row>
    <row r="2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0</v>
      </c>
      <c r="B24" s="4" t="s">
        <v>20</v>
      </c>
      <c r="C24" s="4" t="s">
        <v>17</v>
      </c>
      <c r="D24" s="4" t="s">
        <v>21</v>
      </c>
    </row>
    <row r="25">
      <c r="A25" s="4" t="s">
        <v>22</v>
      </c>
      <c r="B25" s="4">
        <v>3.0</v>
      </c>
      <c r="C25" s="4">
        <v>2.0</v>
      </c>
      <c r="D25" s="4">
        <v>5.0</v>
      </c>
      <c r="F25" s="5">
        <f>5/14</f>
        <v>0.3571428571</v>
      </c>
    </row>
    <row r="26">
      <c r="A26" s="4" t="s">
        <v>9</v>
      </c>
      <c r="B26" s="4">
        <v>4.0</v>
      </c>
      <c r="C26" s="4">
        <v>0.0</v>
      </c>
      <c r="D26" s="4">
        <v>4.0</v>
      </c>
    </row>
    <row r="27">
      <c r="A27" s="4" t="s">
        <v>5</v>
      </c>
      <c r="B27" s="4">
        <v>2.0</v>
      </c>
      <c r="C27" s="4">
        <v>3.0</v>
      </c>
      <c r="D27" s="4">
        <v>5.0</v>
      </c>
    </row>
    <row r="28">
      <c r="D28" s="5">
        <f>SUM(D25:D27)</f>
        <v>14</v>
      </c>
    </row>
    <row r="29">
      <c r="A29" s="4" t="s">
        <v>23</v>
      </c>
    </row>
    <row r="30">
      <c r="A30" s="4" t="s">
        <v>22</v>
      </c>
      <c r="B30" s="5">
        <f>-((B25/D25)*log(B25/D25,2)) - ((C25/D25)*log(C25/D25,2))</f>
        <v>0.9709505945</v>
      </c>
    </row>
    <row r="31">
      <c r="A31" s="4" t="s">
        <v>9</v>
      </c>
      <c r="B31" s="4">
        <v>0.0</v>
      </c>
    </row>
    <row r="32">
      <c r="A32" s="4" t="s">
        <v>5</v>
      </c>
      <c r="B32" s="5">
        <f>-((B27/D27)*log(B27/D27,2)) - ((C27/D27)*log(C27/D27,2))</f>
        <v>0.9709505945</v>
      </c>
    </row>
    <row r="34">
      <c r="A34" s="4" t="s">
        <v>24</v>
      </c>
      <c r="C34" s="5">
        <f>B30*(D25/D28) + B31*(D26/D28) + B32*(D27/D28)</f>
        <v>0.6935361389</v>
      </c>
    </row>
    <row r="36">
      <c r="A36" s="7" t="s">
        <v>1</v>
      </c>
      <c r="B36" s="4" t="s">
        <v>20</v>
      </c>
      <c r="C36" s="4" t="s">
        <v>17</v>
      </c>
      <c r="D36" s="4" t="s">
        <v>21</v>
      </c>
    </row>
    <row r="37">
      <c r="A37" s="4" t="s">
        <v>13</v>
      </c>
      <c r="B37" s="4">
        <v>3.0</v>
      </c>
      <c r="C37" s="4">
        <v>1.0</v>
      </c>
      <c r="D37" s="4">
        <v>4.0</v>
      </c>
    </row>
    <row r="38">
      <c r="A38" s="4" t="s">
        <v>6</v>
      </c>
      <c r="B38" s="4">
        <v>2.0</v>
      </c>
      <c r="C38" s="4">
        <v>2.0</v>
      </c>
      <c r="D38" s="4">
        <v>4.0</v>
      </c>
    </row>
    <row r="39">
      <c r="A39" s="4" t="s">
        <v>12</v>
      </c>
      <c r="B39" s="4">
        <v>4.0</v>
      </c>
      <c r="C39" s="4">
        <v>2.0</v>
      </c>
      <c r="D39" s="4">
        <v>6.0</v>
      </c>
    </row>
    <row r="41">
      <c r="A41" s="4" t="s">
        <v>18</v>
      </c>
    </row>
    <row r="42">
      <c r="A42" s="4" t="s">
        <v>25</v>
      </c>
      <c r="B42" s="5">
        <f t="shared" ref="B42:B44" si="1">-((B37/D37)*log(B37/D37,2 )) - ((C37/D37)*log(C37/D37,2))</f>
        <v>0.8112781245</v>
      </c>
    </row>
    <row r="43">
      <c r="A43" s="4" t="s">
        <v>26</v>
      </c>
      <c r="B43" s="5">
        <f t="shared" si="1"/>
        <v>1</v>
      </c>
    </row>
    <row r="44">
      <c r="A44" s="4" t="s">
        <v>27</v>
      </c>
      <c r="B44" s="5">
        <f t="shared" si="1"/>
        <v>0.9182958341</v>
      </c>
    </row>
    <row r="46">
      <c r="A46" s="4" t="s">
        <v>18</v>
      </c>
      <c r="B46" s="5">
        <f>B42*(D37/14) + B43*(D38/14) + B44*(D39/14)</f>
        <v>0.911063393</v>
      </c>
    </row>
    <row r="48">
      <c r="A48" s="4" t="s">
        <v>2</v>
      </c>
      <c r="B48" s="4" t="s">
        <v>20</v>
      </c>
      <c r="C48" s="4" t="s">
        <v>17</v>
      </c>
      <c r="D48" s="4" t="s">
        <v>21</v>
      </c>
    </row>
    <row r="49">
      <c r="A49" s="4" t="s">
        <v>7</v>
      </c>
      <c r="B49" s="4">
        <v>6.0</v>
      </c>
      <c r="C49" s="4">
        <v>1.0</v>
      </c>
      <c r="D49" s="4">
        <v>7.0</v>
      </c>
    </row>
    <row r="50">
      <c r="A50" s="4" t="s">
        <v>14</v>
      </c>
      <c r="B50" s="4">
        <v>3.0</v>
      </c>
      <c r="C50" s="4">
        <v>4.0</v>
      </c>
      <c r="D50" s="4">
        <v>7.0</v>
      </c>
    </row>
    <row r="51">
      <c r="D51" s="5">
        <f>SUM(D49:D50)</f>
        <v>14</v>
      </c>
    </row>
    <row r="52">
      <c r="A52" s="4" t="s">
        <v>18</v>
      </c>
    </row>
    <row r="53">
      <c r="A53" s="4" t="s">
        <v>7</v>
      </c>
      <c r="B53" s="5">
        <f t="shared" ref="B53:B54" si="2">-((B49/D49)*log(B49/D49,2))- ((C49/D49)*log(C49/D49,2))</f>
        <v>0.5916727786</v>
      </c>
    </row>
    <row r="54">
      <c r="A54" s="4" t="s">
        <v>14</v>
      </c>
      <c r="B54" s="5">
        <f t="shared" si="2"/>
        <v>0.985228136</v>
      </c>
    </row>
    <row r="56">
      <c r="A56" s="4" t="s">
        <v>28</v>
      </c>
      <c r="B56" s="5">
        <f>B53*(D49/D51) + B54*(D50/D51)</f>
        <v>0.7884504573</v>
      </c>
    </row>
    <row r="58">
      <c r="A58" s="7" t="s">
        <v>29</v>
      </c>
      <c r="B58" s="4" t="s">
        <v>20</v>
      </c>
      <c r="C58" s="4" t="s">
        <v>17</v>
      </c>
      <c r="D58" s="4" t="s">
        <v>21</v>
      </c>
    </row>
    <row r="59">
      <c r="A59" s="4" t="b">
        <v>0</v>
      </c>
      <c r="B59" s="4">
        <v>6.0</v>
      </c>
      <c r="C59" s="4">
        <v>2.0</v>
      </c>
      <c r="D59" s="4">
        <v>8.0</v>
      </c>
    </row>
    <row r="60">
      <c r="A60" s="4" t="b">
        <v>1</v>
      </c>
      <c r="B60" s="4">
        <v>3.0</v>
      </c>
      <c r="C60" s="4">
        <v>3.0</v>
      </c>
      <c r="D60" s="4">
        <v>6.0</v>
      </c>
    </row>
    <row r="61">
      <c r="D61" s="5">
        <f>SUM(D59:D60)</f>
        <v>14</v>
      </c>
    </row>
    <row r="63">
      <c r="A63" s="4" t="s">
        <v>18</v>
      </c>
    </row>
    <row r="64">
      <c r="A64" s="4" t="b">
        <v>0</v>
      </c>
      <c r="B64" s="5">
        <f t="shared" ref="B64:B65" si="3">-((B59/D59)*log(B59/D59,2)) - ((C59/D59)*log(C59/D59,2))</f>
        <v>0.8112781245</v>
      </c>
    </row>
    <row r="65">
      <c r="A65" s="4" t="b">
        <v>1</v>
      </c>
      <c r="B65" s="5">
        <f t="shared" si="3"/>
        <v>1</v>
      </c>
    </row>
    <row r="67">
      <c r="A67" s="4" t="s">
        <v>28</v>
      </c>
      <c r="B67" s="5">
        <f>B64*(D59/D61) + B65*(D60/D61)</f>
        <v>0.8921589283</v>
      </c>
    </row>
    <row r="71">
      <c r="B71" s="4" t="s">
        <v>30</v>
      </c>
    </row>
    <row r="72">
      <c r="B72" s="4" t="s">
        <v>0</v>
      </c>
      <c r="C72" s="5">
        <f>C34</f>
        <v>0.6935361389</v>
      </c>
    </row>
    <row r="73">
      <c r="B73" s="4" t="s">
        <v>1</v>
      </c>
      <c r="C73" s="5">
        <f>B46</f>
        <v>0.911063393</v>
      </c>
    </row>
    <row r="74">
      <c r="B74" s="4" t="s">
        <v>2</v>
      </c>
      <c r="C74" s="5">
        <f>B56</f>
        <v>0.7884504573</v>
      </c>
    </row>
    <row r="75">
      <c r="B75" s="4" t="s">
        <v>3</v>
      </c>
      <c r="C75" s="5">
        <f>B67</f>
        <v>0.8921589283</v>
      </c>
    </row>
    <row r="84">
      <c r="B84" s="4" t="s">
        <v>31</v>
      </c>
    </row>
    <row r="85">
      <c r="B85" s="4" t="s">
        <v>0</v>
      </c>
      <c r="C85" s="5">
        <f t="shared" ref="C85:C88" si="4">$B$19-C72</f>
        <v>0.2467498198</v>
      </c>
    </row>
    <row r="86">
      <c r="B86" s="4" t="s">
        <v>1</v>
      </c>
      <c r="C86" s="5">
        <f t="shared" si="4"/>
        <v>0.02922256566</v>
      </c>
    </row>
    <row r="87">
      <c r="B87" s="4" t="s">
        <v>2</v>
      </c>
      <c r="C87" s="5">
        <f t="shared" si="4"/>
        <v>0.1518355014</v>
      </c>
    </row>
    <row r="88">
      <c r="B88" s="4" t="s">
        <v>3</v>
      </c>
      <c r="C88" s="5">
        <f t="shared" si="4"/>
        <v>0.04812703041</v>
      </c>
    </row>
  </sheetData>
  <autoFilter ref="$A$1:$E$15">
    <filterColumn colId="0">
      <filters>
        <filter val="Rainy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11</v>
      </c>
      <c r="B2" s="2" t="s">
        <v>12</v>
      </c>
      <c r="C2" s="2" t="s">
        <v>7</v>
      </c>
      <c r="D2" s="3" t="b">
        <v>0</v>
      </c>
      <c r="E2" s="2" t="s">
        <v>10</v>
      </c>
    </row>
    <row r="3">
      <c r="A3" s="2" t="s">
        <v>11</v>
      </c>
      <c r="B3" s="2" t="s">
        <v>13</v>
      </c>
      <c r="C3" s="2" t="s">
        <v>14</v>
      </c>
      <c r="D3" s="3" t="b">
        <v>0</v>
      </c>
      <c r="E3" s="2" t="s">
        <v>10</v>
      </c>
    </row>
    <row r="4">
      <c r="A4" s="2" t="s">
        <v>11</v>
      </c>
      <c r="B4" s="2" t="s">
        <v>13</v>
      </c>
      <c r="C4" s="2" t="s">
        <v>14</v>
      </c>
      <c r="D4" s="3" t="b">
        <v>1</v>
      </c>
      <c r="E4" s="2" t="s">
        <v>8</v>
      </c>
    </row>
    <row r="5">
      <c r="A5" s="2" t="s">
        <v>11</v>
      </c>
      <c r="B5" s="2" t="s">
        <v>12</v>
      </c>
      <c r="C5" s="2" t="s">
        <v>14</v>
      </c>
      <c r="D5" s="3" t="b">
        <v>0</v>
      </c>
      <c r="E5" s="2" t="s">
        <v>10</v>
      </c>
    </row>
    <row r="6">
      <c r="A6" s="2" t="s">
        <v>11</v>
      </c>
      <c r="B6" s="2" t="s">
        <v>12</v>
      </c>
      <c r="C6" s="2" t="s">
        <v>7</v>
      </c>
      <c r="D6" s="3" t="b">
        <v>1</v>
      </c>
      <c r="E6" s="2" t="s">
        <v>8</v>
      </c>
    </row>
    <row r="8">
      <c r="A8" s="4" t="s">
        <v>32</v>
      </c>
      <c r="B8" s="4" t="s">
        <v>33</v>
      </c>
      <c r="C8" s="4" t="s">
        <v>20</v>
      </c>
      <c r="D8" s="4" t="s">
        <v>17</v>
      </c>
      <c r="E8" s="4" t="s">
        <v>21</v>
      </c>
    </row>
    <row r="9">
      <c r="C9" s="4">
        <v>3.0</v>
      </c>
      <c r="D9" s="4">
        <v>2.0</v>
      </c>
      <c r="E9" s="4">
        <v>5.0</v>
      </c>
    </row>
    <row r="11">
      <c r="B11" s="4" t="s">
        <v>18</v>
      </c>
      <c r="C11" s="5">
        <f>-((C9/E9)*log(C9/E9,2)) -((D9/E9)*log(D9/E9,2))</f>
        <v>0.9709505945</v>
      </c>
    </row>
    <row r="13">
      <c r="A13" s="4" t="s">
        <v>1</v>
      </c>
      <c r="B13" s="4" t="s">
        <v>20</v>
      </c>
      <c r="C13" s="4" t="s">
        <v>17</v>
      </c>
      <c r="D13" s="4" t="s">
        <v>21</v>
      </c>
    </row>
    <row r="14">
      <c r="A14" s="4" t="s">
        <v>12</v>
      </c>
      <c r="B14" s="4">
        <v>2.0</v>
      </c>
      <c r="C14" s="4">
        <v>1.0</v>
      </c>
      <c r="D14" s="4">
        <v>3.0</v>
      </c>
    </row>
    <row r="15">
      <c r="A15" s="4" t="s">
        <v>13</v>
      </c>
      <c r="B15" s="4">
        <v>1.0</v>
      </c>
      <c r="C15" s="4">
        <v>1.0</v>
      </c>
      <c r="D15" s="4">
        <v>2.0</v>
      </c>
    </row>
    <row r="17">
      <c r="A17" s="4" t="s">
        <v>18</v>
      </c>
    </row>
    <row r="18">
      <c r="A18" s="4" t="s">
        <v>12</v>
      </c>
      <c r="B18" s="5">
        <f t="shared" ref="B18:B19" si="1">-((B14/D14)*log(B14/D14,2)) - ((C14/D14)*log(C14/D14,2))</f>
        <v>0.9182958341</v>
      </c>
    </row>
    <row r="19">
      <c r="A19" s="4" t="s">
        <v>13</v>
      </c>
      <c r="B19" s="5">
        <f t="shared" si="1"/>
        <v>1</v>
      </c>
    </row>
    <row r="21">
      <c r="A21" s="4" t="s">
        <v>28</v>
      </c>
      <c r="B21" s="5">
        <f>B18*(D14/5) + B19*D15/5</f>
        <v>0.9509775004</v>
      </c>
    </row>
    <row r="22">
      <c r="A22" s="4" t="s">
        <v>2</v>
      </c>
      <c r="B22" s="4" t="s">
        <v>20</v>
      </c>
      <c r="C22" s="4" t="s">
        <v>17</v>
      </c>
      <c r="D22" s="4" t="s">
        <v>21</v>
      </c>
    </row>
    <row r="23">
      <c r="A23" s="4" t="s">
        <v>7</v>
      </c>
      <c r="B23" s="4">
        <v>1.0</v>
      </c>
      <c r="C23" s="4">
        <v>1.0</v>
      </c>
      <c r="D23" s="4">
        <v>2.0</v>
      </c>
    </row>
    <row r="24">
      <c r="A24" s="4" t="s">
        <v>14</v>
      </c>
      <c r="B24" s="4">
        <v>2.0</v>
      </c>
      <c r="C24" s="4">
        <v>1.0</v>
      </c>
      <c r="D24" s="4">
        <v>3.0</v>
      </c>
    </row>
    <row r="26">
      <c r="A26" s="4" t="s">
        <v>18</v>
      </c>
    </row>
    <row r="27">
      <c r="A27" s="4" t="s">
        <v>7</v>
      </c>
      <c r="B27" s="5">
        <f t="shared" ref="B27:B28" si="2">-((B23/D23)*log(B23/D23,2)) - ((C23/D23) * log(C23/D23,2))</f>
        <v>1</v>
      </c>
    </row>
    <row r="28">
      <c r="A28" s="4" t="s">
        <v>14</v>
      </c>
      <c r="B28" s="5">
        <f t="shared" si="2"/>
        <v>0.9182958341</v>
      </c>
    </row>
    <row r="30">
      <c r="A30" s="4" t="s">
        <v>34</v>
      </c>
      <c r="B30" s="5">
        <f>B27*(D23/5)+ B28*(D24/5)</f>
        <v>0.9509775004</v>
      </c>
    </row>
    <row r="32">
      <c r="A32" s="4" t="s">
        <v>35</v>
      </c>
      <c r="B32" s="4" t="s">
        <v>20</v>
      </c>
      <c r="C32" s="4" t="s">
        <v>17</v>
      </c>
      <c r="D32" s="4" t="s">
        <v>21</v>
      </c>
    </row>
    <row r="33">
      <c r="A33" s="4" t="b">
        <v>0</v>
      </c>
      <c r="B33" s="4">
        <v>3.0</v>
      </c>
      <c r="C33" s="4">
        <v>0.0</v>
      </c>
      <c r="D33" s="4">
        <v>3.0</v>
      </c>
    </row>
    <row r="34">
      <c r="A34" s="4" t="b">
        <v>1</v>
      </c>
      <c r="B34" s="4">
        <v>0.0</v>
      </c>
      <c r="C34" s="4">
        <v>2.0</v>
      </c>
      <c r="D34" s="4">
        <v>2.0</v>
      </c>
    </row>
    <row r="36">
      <c r="A36" s="4" t="s">
        <v>18</v>
      </c>
    </row>
    <row r="37">
      <c r="A37" s="4" t="b">
        <v>0</v>
      </c>
      <c r="B37" s="5">
        <f>-((B33/D33)*log(B33/D33,2))</f>
        <v>0</v>
      </c>
    </row>
    <row r="38">
      <c r="A38" s="4" t="b">
        <v>1</v>
      </c>
      <c r="B38" s="5">
        <f>-((C34/D34)*log(C34/D34,2))</f>
        <v>0</v>
      </c>
    </row>
    <row r="40">
      <c r="A40" s="4" t="s">
        <v>34</v>
      </c>
      <c r="B40" s="5">
        <f>0</f>
        <v>0</v>
      </c>
    </row>
    <row r="43">
      <c r="B43" s="4" t="s">
        <v>36</v>
      </c>
    </row>
    <row r="44">
      <c r="B44" s="4" t="s">
        <v>1</v>
      </c>
      <c r="C44" s="5">
        <f>B21</f>
        <v>0.9509775004</v>
      </c>
    </row>
    <row r="45">
      <c r="B45" s="4" t="s">
        <v>37</v>
      </c>
      <c r="C45" s="5">
        <f>B30</f>
        <v>0.9509775004</v>
      </c>
    </row>
    <row r="46">
      <c r="B46" s="4" t="s">
        <v>35</v>
      </c>
      <c r="C46" s="5">
        <f>B40</f>
        <v>0</v>
      </c>
    </row>
    <row r="49">
      <c r="B49" s="4" t="s">
        <v>31</v>
      </c>
    </row>
    <row r="50">
      <c r="B50" s="4" t="s">
        <v>1</v>
      </c>
      <c r="C50" s="5">
        <f t="shared" ref="C50:C52" si="3">$C$11-C44</f>
        <v>0.01997309402</v>
      </c>
    </row>
    <row r="51">
      <c r="B51" s="4" t="s">
        <v>37</v>
      </c>
      <c r="C51" s="5">
        <f t="shared" si="3"/>
        <v>0.01997309402</v>
      </c>
    </row>
    <row r="52">
      <c r="B52" s="4" t="s">
        <v>35</v>
      </c>
      <c r="C52" s="5">
        <f t="shared" si="3"/>
        <v>0.9709505945</v>
      </c>
    </row>
  </sheetData>
  <autoFilter ref="$A$1:$E$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b">
        <v>0</v>
      </c>
      <c r="E2" s="2" t="s">
        <v>8</v>
      </c>
    </row>
    <row r="3">
      <c r="A3" s="2" t="s">
        <v>5</v>
      </c>
      <c r="B3" s="2" t="s">
        <v>6</v>
      </c>
      <c r="C3" s="2" t="s">
        <v>7</v>
      </c>
      <c r="D3" s="3" t="b">
        <v>1</v>
      </c>
      <c r="E3" s="2" t="s">
        <v>8</v>
      </c>
    </row>
    <row r="4">
      <c r="A4" s="2" t="s">
        <v>5</v>
      </c>
      <c r="B4" s="2" t="s">
        <v>12</v>
      </c>
      <c r="C4" s="2" t="s">
        <v>7</v>
      </c>
      <c r="D4" s="3" t="b">
        <v>0</v>
      </c>
      <c r="E4" s="2" t="s">
        <v>8</v>
      </c>
    </row>
    <row r="5">
      <c r="A5" s="2" t="s">
        <v>5</v>
      </c>
      <c r="B5" s="2" t="s">
        <v>13</v>
      </c>
      <c r="C5" s="2" t="s">
        <v>14</v>
      </c>
      <c r="D5" s="3" t="b">
        <v>0</v>
      </c>
      <c r="E5" s="2" t="s">
        <v>10</v>
      </c>
    </row>
    <row r="6">
      <c r="A6" s="2" t="s">
        <v>5</v>
      </c>
      <c r="B6" s="2" t="s">
        <v>12</v>
      </c>
      <c r="C6" s="2" t="s">
        <v>14</v>
      </c>
      <c r="D6" s="3" t="b">
        <v>1</v>
      </c>
      <c r="E6" s="2" t="s">
        <v>10</v>
      </c>
    </row>
    <row r="8">
      <c r="A8" s="4" t="s">
        <v>33</v>
      </c>
      <c r="B8" s="4" t="s">
        <v>20</v>
      </c>
      <c r="C8" s="4" t="s">
        <v>17</v>
      </c>
      <c r="D8" s="4" t="s">
        <v>21</v>
      </c>
    </row>
    <row r="9">
      <c r="B9" s="4">
        <v>2.0</v>
      </c>
      <c r="C9" s="4">
        <v>3.0</v>
      </c>
      <c r="D9" s="4">
        <v>5.0</v>
      </c>
    </row>
    <row r="11">
      <c r="A11" s="4" t="s">
        <v>18</v>
      </c>
      <c r="B11" s="5">
        <f>-((B9/D9)*log(B9/D9,2)) - ((C9/D9)*log(C9/D9))</f>
        <v>0.6618804877</v>
      </c>
    </row>
    <row r="13">
      <c r="A13" s="4" t="s">
        <v>1</v>
      </c>
      <c r="B13" s="4" t="s">
        <v>20</v>
      </c>
      <c r="C13" s="4" t="s">
        <v>17</v>
      </c>
      <c r="D13" s="4" t="s">
        <v>21</v>
      </c>
    </row>
    <row r="14">
      <c r="A14" s="4" t="s">
        <v>6</v>
      </c>
      <c r="B14" s="4">
        <v>0.0</v>
      </c>
      <c r="C14" s="4">
        <v>2.0</v>
      </c>
      <c r="D14" s="4">
        <v>2.0</v>
      </c>
    </row>
    <row r="15">
      <c r="A15" s="4" t="s">
        <v>12</v>
      </c>
      <c r="B15" s="4">
        <v>1.0</v>
      </c>
      <c r="C15" s="4">
        <v>1.0</v>
      </c>
      <c r="D15" s="4">
        <v>2.0</v>
      </c>
    </row>
    <row r="16">
      <c r="A16" s="4" t="s">
        <v>13</v>
      </c>
      <c r="B16" s="4">
        <v>1.0</v>
      </c>
      <c r="C16" s="4">
        <v>0.0</v>
      </c>
      <c r="D16" s="4">
        <v>1.0</v>
      </c>
    </row>
    <row r="18">
      <c r="A18" s="4" t="s">
        <v>18</v>
      </c>
    </row>
    <row r="19">
      <c r="A19" s="4" t="s">
        <v>6</v>
      </c>
      <c r="B19" s="5">
        <f t="shared" ref="B19:B20" si="1">-((C14/D14)*log(C14/D14,2))</f>
        <v>0</v>
      </c>
    </row>
    <row r="20">
      <c r="A20" s="4" t="s">
        <v>12</v>
      </c>
      <c r="B20" s="5">
        <f t="shared" si="1"/>
        <v>0.5</v>
      </c>
    </row>
    <row r="21">
      <c r="A21" s="4" t="s">
        <v>13</v>
      </c>
      <c r="B21" s="4">
        <v>0.0</v>
      </c>
    </row>
    <row r="23">
      <c r="A23" s="4" t="s">
        <v>34</v>
      </c>
      <c r="B23" s="5">
        <f>B20*(D15/5)</f>
        <v>0.2</v>
      </c>
    </row>
    <row r="25">
      <c r="A25" s="4" t="s">
        <v>2</v>
      </c>
      <c r="B25" s="4" t="s">
        <v>20</v>
      </c>
      <c r="C25" s="4" t="s">
        <v>17</v>
      </c>
      <c r="D25" s="4" t="s">
        <v>21</v>
      </c>
    </row>
    <row r="26">
      <c r="A26" s="4" t="s">
        <v>7</v>
      </c>
      <c r="B26" s="4">
        <v>0.0</v>
      </c>
      <c r="C26" s="4">
        <v>3.0</v>
      </c>
      <c r="D26" s="4">
        <v>3.0</v>
      </c>
    </row>
    <row r="27">
      <c r="A27" s="4" t="s">
        <v>14</v>
      </c>
      <c r="B27" s="4">
        <v>2.0</v>
      </c>
      <c r="C27" s="4">
        <v>0.0</v>
      </c>
      <c r="D27" s="4">
        <v>2.0</v>
      </c>
    </row>
    <row r="30">
      <c r="A30" s="4" t="s">
        <v>18</v>
      </c>
    </row>
    <row r="31">
      <c r="A31" s="4" t="s">
        <v>38</v>
      </c>
      <c r="B31" s="4">
        <v>0.0</v>
      </c>
    </row>
    <row r="32">
      <c r="A32" s="4" t="s">
        <v>14</v>
      </c>
      <c r="B32" s="4">
        <v>0.0</v>
      </c>
    </row>
    <row r="35">
      <c r="A35" s="4" t="s">
        <v>3</v>
      </c>
    </row>
    <row r="39">
      <c r="A39" s="4" t="s">
        <v>39</v>
      </c>
    </row>
  </sheetData>
  <autoFilter ref="$A$1:$E$6"/>
  <drawing r:id="rId1"/>
</worksheet>
</file>